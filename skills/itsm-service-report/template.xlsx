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75" windowHeight="15300"/>
  </bookViews>
  <sheets>
    <sheet name="Sheet1" sheetId="1" r:id="rId1"/>
  </sheets>
  <definedNames>
    <definedName name="_xlnm._FilterDatabase" localSheetId="0" hidden="1">Sheet1!$A$10:$M$58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ED1626B374A443459FB7557F66F2828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107920" y="3842385"/>
          <a:ext cx="7630160" cy="75406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<sst xmlns="http://schemas.openxmlformats.org/spreadsheetml/2006/main" count="646" uniqueCount="310">
  <si>
    <t>XXXXX</t>
  </si>
  <si>
    <t>客户服务报告
报告日期：2025.01.01-2025.12.31</t>
  </si>
  <si>
    <t>服务摘要：</t>
  </si>
  <si>
    <t>工单总数：49</t>
  </si>
  <si>
    <t>完成工单：48</t>
  </si>
  <si>
    <t>待完成工单：1</t>
  </si>
  <si>
    <t>服务请求人数：6</t>
  </si>
  <si>
    <r>
      <rPr>
        <b/>
        <sz val="16"/>
        <color theme="1"/>
        <rFont val="微软雅黑"/>
        <charset val="134"/>
      </rPr>
      <t xml:space="preserve">服务总结：
</t>
    </r>
    <r>
      <rPr>
        <sz val="16"/>
        <color theme="1"/>
        <rFont val="微软雅黑"/>
        <charset val="134"/>
      </rPr>
      <t>时光荏苒，2025年已接近落幕。衷心感谢贵司团队一直以来对我方运维服务的信任与支持！
在过去的一年里，我方团队始终秉持“以客户为中心，保障系统稳定高效运行，助力业务持续发展”的服务理念，
与贵司紧密协作，共同应对各项挑战。每一次工单的快速解决，都离不开双方的紧密协作
（特别感谢客户IT团队王梦杰、黄聪等老师们及时反馈沟通，协调停机调整时间，帮助更快定位问题，对问题的优化提出自己的看法）。</t>
    </r>
    <r>
      <rPr>
        <sz val="16"/>
        <color theme="1"/>
        <rFont val="Arial"/>
        <charset val="134"/>
      </rPr>
      <t>_x000b_</t>
    </r>
    <r>
      <rPr>
        <sz val="16"/>
        <color theme="1"/>
        <rFont val="微软雅黑"/>
        <charset val="134"/>
      </rPr>
      <t>感谢所有对本项目的支持与信任的伙伴
现将本年度运维服务情况总结汇报如下，期待通过我们的努力成果，为贵司的业务稳健发展提供有力支撑。</t>
    </r>
    <r>
      <rPr>
        <b/>
        <sz val="16"/>
        <color theme="1"/>
        <rFont val="微软雅黑"/>
        <charset val="134"/>
      </rPr>
      <t xml:space="preserve">
服务概览：稳健护航，成效显著
</t>
    </r>
    <r>
      <rPr>
        <sz val="16"/>
        <color theme="1"/>
        <rFont val="微软雅黑"/>
        <charset val="134"/>
      </rPr>
      <t xml:space="preserve">本年度，我们聚焦于保障贵司核心系统的持续稳定运行与服务质量提升，取得了以下关键成果：
</t>
    </r>
    <r>
      <rPr>
        <b/>
        <sz val="16"/>
        <color theme="1"/>
        <rFont val="微软雅黑"/>
        <charset val="134"/>
      </rPr>
      <t>系统稳定性卓越，风险可控：
零重大故障：</t>
    </r>
    <r>
      <rPr>
        <b/>
        <sz val="16"/>
        <color theme="1"/>
        <rFont val="Times New Roman"/>
        <charset val="134"/>
      </rPr>
      <t>​</t>
    </r>
    <r>
      <rPr>
        <b/>
        <sz val="16"/>
        <color theme="1"/>
        <rFont val="微软雅黑"/>
        <charset val="134"/>
      </rPr>
      <t xml:space="preserve"> 全年未发生P0级别的重大停机事件，确保了贵司业务的连续性，为日常运营提供了坚实的系统基础；
主动预防巡检：</t>
    </r>
    <r>
      <rPr>
        <b/>
        <sz val="16"/>
        <color theme="1"/>
        <rFont val="Times New Roman"/>
        <charset val="134"/>
      </rPr>
      <t>​</t>
    </r>
    <r>
      <rPr>
        <b/>
        <sz val="16"/>
        <color theme="1"/>
        <rFont val="微软雅黑"/>
        <charset val="134"/>
      </rPr>
      <t xml:space="preserve"> 针对服务器及数据库等核心基础设施，我们于12月将安排全面的整体健康巡检；旨在提前识别潜在风险，防患于未然，持续提升系统健康度
服务响应及时，闭环管理：
</t>
    </r>
    <r>
      <rPr>
        <sz val="16"/>
        <color theme="1"/>
        <rFont val="微软雅黑"/>
        <charset val="134"/>
      </rPr>
      <t>工单完成率99%：</t>
    </r>
    <r>
      <rPr>
        <sz val="16"/>
        <color theme="1"/>
        <rFont val="Times New Roman"/>
        <charset val="134"/>
      </rPr>
      <t>​</t>
    </r>
    <r>
      <rPr>
        <sz val="16"/>
        <color theme="1"/>
        <rFont val="微软雅黑"/>
        <charset val="134"/>
      </rPr>
      <t xml:space="preserve"> 本年度接收并处理的全部工单实现99%完工率，确保客户问题得到及时响应，妥善处理，剩下1单会跟进，尽快完成。</t>
    </r>
    <r>
      <rPr>
        <b/>
        <sz val="16"/>
        <color theme="1"/>
        <rFont val="微软雅黑"/>
        <charset val="134"/>
      </rPr>
      <t xml:space="preserve">
服务工单类型分布：</t>
    </r>
    <r>
      <rPr>
        <sz val="16"/>
        <color theme="1"/>
        <rFont val="微软雅黑"/>
        <charset val="134"/>
      </rPr>
      <t>通过对本年度工单数据的深入分析，我们不仅高效解决了各类问题，也从中洞察到服务重点与优化方向，具体如下：</t>
    </r>
    <r>
      <rPr>
        <b/>
        <sz val="16"/>
        <color theme="1"/>
        <rFont val="微软雅黑"/>
        <charset val="134"/>
      </rPr>
      <t xml:space="preserve">
功能类问题支持 (占比42%，34%功能BUG占比，8%的接口数据等问题)：
</t>
    </r>
    <r>
      <rPr>
        <sz val="16"/>
        <color theme="1"/>
        <rFont val="微软雅黑"/>
        <charset val="134"/>
      </rPr>
      <t>服务聚焦：有效响应并解决了贵司在使用WMS系统过程中遇到的数据相关问题、功能缺陷(BUG)及接口调用异常等各类使用障碍;
价值体现：保障了关键业务系统在功能层面的顺畅应用，减少了因功能问题导致的业务中断或效率损耗;</t>
    </r>
    <r>
      <rPr>
        <b/>
        <sz val="16"/>
        <color theme="1"/>
        <rFont val="微软雅黑"/>
        <charset val="134"/>
      </rPr>
      <t xml:space="preserve">
系统优化与性能提升 (占比21%)：
</t>
    </r>
    <r>
      <rPr>
        <sz val="16"/>
        <color theme="1"/>
        <rFont val="微软雅黑"/>
        <charset val="134"/>
      </rPr>
      <t xml:space="preserve">服务聚焦：针对系统易用性与性能表现，主动或应需进行了系统使用性优化、性能瓶颈分析与调优，并完成了数据归档清理;
价值体现：提升了系统整体运行效率与用户操作便捷性，使系统能更好地匹配贵司业务发展需求，挖掘系统潜能，提升了用户操作体验;
</t>
    </r>
    <r>
      <rPr>
        <b/>
        <sz val="16"/>
        <color theme="1"/>
        <rFont val="微软雅黑"/>
        <charset val="134"/>
      </rPr>
      <t>服务器健康巡检、故障处理与安全保障 (占比31%)：</t>
    </r>
    <r>
      <rPr>
        <sz val="16"/>
        <color theme="1"/>
        <rFont val="微软雅黑"/>
        <charset val="134"/>
      </rPr>
      <t xml:space="preserve">
服务聚焦：快速响应并处理服务器突发故障，提供常态化的服务器健康状态巡检与问题跟进，同时积极修复系统安全漏洞，构建安全防护网;
价值体现：最大限度缩短了故障恢复时间，保障了服务器资源的稳定可用，并通过主动安全加固，有效降低了系统被攻击的风险，守护了数据安全;</t>
    </r>
    <r>
      <rPr>
        <b/>
        <sz val="16"/>
        <color theme="1"/>
        <rFont val="微软雅黑"/>
        <charset val="134"/>
      </rPr>
      <t xml:space="preserve">
问题咨询与技术交流 (占比4%)：
</t>
    </r>
    <r>
      <rPr>
        <sz val="16"/>
        <color theme="1"/>
        <rFont val="微软雅黑"/>
        <charset val="134"/>
      </rPr>
      <t xml:space="preserve">服务聚焦：积极响应贵司在系统使用、配置等方面的咨询需求，并提供深入的技术交流与指导;
价值体现：帮助团队加深了对系统的理解与掌握，提升了自主运维和问题解决能力，促进了双方技术团队的协同与知识共享;
</t>
    </r>
    <r>
      <rPr>
        <b/>
        <sz val="16"/>
        <color theme="1"/>
        <rFont val="微软雅黑"/>
        <charset val="134"/>
      </rPr>
      <t>WMS部署自动化发布支持 (占比2%)：</t>
    </r>
    <r>
      <rPr>
        <sz val="16"/>
        <color theme="1"/>
        <rFont val="微软雅黑"/>
        <charset val="134"/>
      </rPr>
      <t xml:space="preserve">
服务聚焦：为新环境搭建提供专业的自动部署方案，同步输出了详尽的使用手册，并持续优化发布流程相关工具，提升部署效率与规范性;
价值体现：支持了贵司新业务拓展或系统迭代的快速落地，自动化的发布工具为后续自主运维或扩容提供了便利，减少手动部署风险;</t>
    </r>
  </si>
  <si>
    <t>服务明细</t>
  </si>
  <si>
    <t>工单号</t>
  </si>
  <si>
    <t>主题</t>
  </si>
  <si>
    <t>状态</t>
  </si>
  <si>
    <t>客户</t>
  </si>
  <si>
    <t>客服组</t>
  </si>
  <si>
    <t>创建人</t>
  </si>
  <si>
    <t>处理人</t>
  </si>
  <si>
    <t>创建于</t>
  </si>
  <si>
    <t>响应于</t>
  </si>
  <si>
    <t>完成于</t>
  </si>
  <si>
    <t>服务类型</t>
  </si>
  <si>
    <t>服务目录</t>
  </si>
  <si>
    <t>解决方案</t>
  </si>
  <si>
    <t>IM25120130</t>
  </si>
  <si>
    <t>正式环境ASN单收货操作等待时间长</t>
  </si>
  <si>
    <t>已解决</t>
  </si>
  <si>
    <t>得力客户组</t>
  </si>
  <si>
    <t>SMOM运维服务组</t>
  </si>
  <si>
    <t>得力_王梦杰</t>
  </si>
  <si>
    <t>SIE_周俊</t>
  </si>
  <si>
    <t>2025-12-16 17:56:45</t>
  </si>
  <si>
    <t>2025-12-18 17:37:43</t>
  </si>
  <si>
    <t>2025-12-23 15:06:19</t>
  </si>
  <si>
    <t>SMOM(MES/APS/WMS/QMS/电子套件/PCB套件)产品</t>
  </si>
  <si>
    <t>需求与性能优化</t>
  </si>
  <si>
    <t>沟通协调专项资源一起排查处理，分析节点，埋点日志，最后优化代码处理</t>
  </si>
  <si>
    <t>IM25120064</t>
  </si>
  <si>
    <t>PC拣货和网页端同时拣货并发问题</t>
  </si>
  <si>
    <t>处理中</t>
  </si>
  <si>
    <t>SIE_蔡显麒</t>
  </si>
  <si>
    <t>2025-12-08 15:41:59</t>
  </si>
  <si>
    <t>2025-12-10 18:13:35</t>
  </si>
  <si>
    <t/>
  </si>
  <si>
    <t>功能问题处理</t>
  </si>
  <si>
    <t>半年偶发一次，关注跟进</t>
  </si>
  <si>
    <t>IM25110250</t>
  </si>
  <si>
    <t>库位标签模板问题</t>
  </si>
  <si>
    <t>已关闭</t>
  </si>
  <si>
    <t>2025-11-28 11:37:33</t>
  </si>
  <si>
    <t>2025-11-28 17:13:13</t>
  </si>
  <si>
    <t>2025-12-05 10:10:02</t>
  </si>
  <si>
    <t>和客户沟通，已修正代码并签入</t>
  </si>
  <si>
    <t>IM25110216</t>
  </si>
  <si>
    <t>反拣功能异常</t>
  </si>
  <si>
    <t>暂挂</t>
  </si>
  <si>
    <t>SIE_李兆满</t>
  </si>
  <si>
    <t>2025-11-26 09:54:18</t>
  </si>
  <si>
    <t>2025-11-26 11:09:54</t>
  </si>
  <si>
    <t>代码已签入，待用户验证确认</t>
  </si>
  <si>
    <t>IM25110198</t>
  </si>
  <si>
    <t>WMS调度任务被禁用后仍在后台执行</t>
  </si>
  <si>
    <t>2025-11-25 10:30:44</t>
  </si>
  <si>
    <t>2025-11-26 10:19:12</t>
  </si>
  <si>
    <t>服务故障处理</t>
  </si>
  <si>
    <t>1、分析查看任务数是否一致，是否有幽灵任务SMOM有效job数为：493hanfire有效job数为：5082、确认有幽灵任务在后端执行（影响业务数据）3、因任务数多，且分组织，不太好操作，需要在后端排查出幽灵任务，手工确认后处理多的任务如图原因：这个“超期任务....”正在一直执行，{"t":"SIE.WMS.Job.OverDueRuleRunJob,SIE.WMS.Job","m":"Execute","p":["SIE.Common.Schdules.JobContext,SIE.Common"],"a":["{\"Key\":\"ad4d0970dd404db8acd9901f2a096154\",\"Name\":\"超期规则执行Job,建议间隔时间设置为30分钟以上\",\"JobClass\":\"SIE.WMS.Job.OverDueRuleRunJob,SIE.WMS.Job\",\"Parameter\":\"\",\"LockTimeOut\":0,\"InvOrg\":1110,\"IdentityId\":0.0}"]}4、因影响到业务数据，先手工处理这笔，其它留给客户操作并熟悉，有需要沟通！4.1通过ctrl+f搜索任务key，&amp;nbsp;勾选上，点确认后，还剩下507个任务。*相关排查sql如下--查看smomjob启用的任务数SELECTCOUNT(*)cnt&amp;nbsp;FROMJOB_CONFIGaWHERE1=1&amp;nbsp;ANDa.state=1;--查看hanfire任务数SELECTcount(1)&amp;nbsp;FROMhf_hashhhWHEREfield='Job';&amp;nbsp;--fororacle排查在SMOM中已经删除或禁用的任务，但在Hangfire调度还存在的任务(手动到hafire控制台根据key删除)SELECThh.*,&amp;nbsp;&amp;nbsp;&amp;nbsp;to_char(hh.value)t_value&amp;nbsp;FROMhf_hashhhWHEREfield='Job'&amp;nbsp;ANDNOTEXISTS(SELECT1&amp;nbsp;&amp;nbsp;&amp;nbsp;&amp;nbsp;&amp;nbsp;FROMjob_configjc&amp;nbsp;&amp;nbsp;&amp;nbsp;&amp;nbsp;WHEREjc.STATE=1--对比启用的任务&amp;nbsp;&amp;nbsp;&amp;nbsp;&amp;nbsp;&amp;nbsp;AND'recurring-job:'||jc.key=hh.key)ORDERBYt_value;</t>
  </si>
  <si>
    <t>IM25110179</t>
  </si>
  <si>
    <t>11月23号凌晨网络切割后WMS调度服务异常</t>
  </si>
  <si>
    <t>DBA资源组</t>
  </si>
  <si>
    <t>SIE_任治霖</t>
  </si>
  <si>
    <t>2025-11-24 09:22:51</t>
  </si>
  <si>
    <t>2025-11-24 10:47:16</t>
  </si>
  <si>
    <t>2025-11-27 12:15:01</t>
  </si>
  <si>
    <t>网络环境调整建议先停止应用服务，待调整完毕后再启动应用服务，这样更安全。</t>
  </si>
  <si>
    <t>IM25110117</t>
  </si>
  <si>
    <t>PDA按物料收货并发问题处理</t>
  </si>
  <si>
    <t>2025-11-14 13:38:49</t>
  </si>
  <si>
    <t>2025-11-16 19:27:31</t>
  </si>
  <si>
    <t>2025-12-03 20:35:02</t>
  </si>
  <si>
    <t>IM25100200</t>
  </si>
  <si>
    <t>WMS系统中间件组件风险处理</t>
  </si>
  <si>
    <t>2025-10-28 10:09:31</t>
  </si>
  <si>
    <t>2025-10-28 10:21:55</t>
  </si>
  <si>
    <t>2025-11-18 17:40:01</t>
  </si>
  <si>
    <t>服务器漏洞修复</t>
  </si>
  <si>
    <t>通过添加iptables访问规则对外屏蔽存在漏洞的端口。</t>
  </si>
  <si>
    <t>IM25100089</t>
  </si>
  <si>
    <t>WMS系统风险处理</t>
  </si>
  <si>
    <t>2025-10-17 08:55:30</t>
  </si>
  <si>
    <t>2025-10-17 09:38:41</t>
  </si>
  <si>
    <t>2025-10-28 15:55:01</t>
  </si>
  <si>
    <t>已处理。问题一:通过防火墙策略对指定的服务器ip外屏蔽7080端口实现。问题二:将oracle用户密码修改为:Deli#Db_Oraclefsd3g，grid用户密码修改为:&amp;nbsp;Deli#Db_Gridiu9df2s。</t>
  </si>
  <si>
    <t>IM25100082</t>
  </si>
  <si>
    <t>立库下架接口并发问题</t>
  </si>
  <si>
    <t>2025-10-15 21:31:21</t>
  </si>
  <si>
    <t>2025-10-17 09:36:56</t>
  </si>
  <si>
    <t>2025-11-06 13:50:04</t>
  </si>
  <si>
    <t>已加redis锁防止并发处理</t>
  </si>
  <si>
    <t>IM25090178</t>
  </si>
  <si>
    <t>WcsDeliveryOutCompleted接口调用超时</t>
  </si>
  <si>
    <t>2025-09-22 18:34:11</t>
  </si>
  <si>
    <t>2025-09-22 18:35:06</t>
  </si>
  <si>
    <t>2025-09-26 18:30:01</t>
  </si>
  <si>
    <t>IM25090168</t>
  </si>
  <si>
    <t>补单_得力集团WMS项目应用服务器健康巡检20250919</t>
  </si>
  <si>
    <t>2025-09-19 18:03:17</t>
  </si>
  <si>
    <t>2025-09-19 20:24:35</t>
  </si>
  <si>
    <t>2025-09-22 20:25:39</t>
  </si>
  <si>
    <t>服务器健康检查</t>
  </si>
  <si>
    <t>国内和越南WMS应用服务器已巡检完毕。</t>
  </si>
  <si>
    <t>IM25090162</t>
  </si>
  <si>
    <t>库存调拨确认分配后头状态未更新</t>
  </si>
  <si>
    <t>2025-09-19 12:04:36</t>
  </si>
  <si>
    <t>2025-09-19 17:27:21</t>
  </si>
  <si>
    <t>2025-10-13 21:55:02</t>
  </si>
  <si>
    <t>IM25090093</t>
  </si>
  <si>
    <t>配送单创建和完成并发问题处理</t>
  </si>
  <si>
    <t>2025-09-11 18:56:15</t>
  </si>
  <si>
    <t>2025-09-11 22:01:38</t>
  </si>
  <si>
    <t>2025-09-20 14:55:39</t>
  </si>
  <si>
    <t>已完成</t>
  </si>
  <si>
    <t>IM25090048</t>
  </si>
  <si>
    <t>2025-09-04 18:24:24</t>
  </si>
  <si>
    <t>2025-09-06 11:56:32</t>
  </si>
  <si>
    <t>2025-09-19 08:50:39</t>
  </si>
  <si>
    <t>IM25090026</t>
  </si>
  <si>
    <t>拣货事务重复问题</t>
  </si>
  <si>
    <t>2025-09-02 17:29:28</t>
  </si>
  <si>
    <t>2025-09-02 18:21:25</t>
  </si>
  <si>
    <t>2025-09-21 16:35:01</t>
  </si>
  <si>
    <t>IM25090021</t>
  </si>
  <si>
    <t>正式环境销售出库发货偶发卡顿</t>
  </si>
  <si>
    <t>2025-09-02 11:16:47</t>
  </si>
  <si>
    <t>2025-09-02 14:24:36</t>
  </si>
  <si>
    <t>2025-09-13 18:35:01</t>
  </si>
  <si>
    <t>业务接口已缩短至5S</t>
  </si>
  <si>
    <t>IM25090019</t>
  </si>
  <si>
    <t>LPN库存全部分配规则</t>
  </si>
  <si>
    <t>2025-09-02 10:24:54</t>
  </si>
  <si>
    <t>2025-09-02 11:51:03</t>
  </si>
  <si>
    <t>业务问题咨询</t>
  </si>
  <si>
    <t>沟通后可以使用以下操作：1、单据大类允许超发：&amp;nbsp;如果超发有限制配置限制2、分配规则：如图</t>
  </si>
  <si>
    <t>IM25080057</t>
  </si>
  <si>
    <t>立库下架完成接口超时问题</t>
  </si>
  <si>
    <t>2025-08-29 16:35:00</t>
  </si>
  <si>
    <t>2025-08-29 17:14:29</t>
  </si>
  <si>
    <t>2025-09-05 18:50:01</t>
  </si>
  <si>
    <t>接口问题处理</t>
  </si>
  <si>
    <t>IM25072996</t>
  </si>
  <si>
    <t>正式环境工单发料出现头行状态不一致问题</t>
  </si>
  <si>
    <t>2025-07-29 15:58:40</t>
  </si>
  <si>
    <t>2025-07-29 18:17:44</t>
  </si>
  <si>
    <t>2025-08-11 08:40:35</t>
  </si>
  <si>
    <t>IM25072918</t>
  </si>
  <si>
    <t>WMS项目代码自动发布导入</t>
  </si>
  <si>
    <t>2025-07-29 08:49:28</t>
  </si>
  <si>
    <t>2025-07-30 08:43:21</t>
  </si>
  <si>
    <t>2025-11-06 12:00:02</t>
  </si>
  <si>
    <t>部署自动化</t>
  </si>
  <si>
    <t>测试环境已部署，正式环境按照用户意愿暂不部署</t>
  </si>
  <si>
    <t>IM25070707</t>
  </si>
  <si>
    <t>仓库-其他信息，同一个仓库出现两条WH_EXT数据</t>
  </si>
  <si>
    <t>2025-07-07 11:14:59</t>
  </si>
  <si>
    <t>2025-07-07 17:59:01</t>
  </si>
  <si>
    <t>2025-07-12 20:05:01</t>
  </si>
  <si>
    <t>IM25070412</t>
  </si>
  <si>
    <t>工单发料整体事务效率优化及日志表查询效率优化</t>
  </si>
  <si>
    <t>2025-07-03 14:31:01</t>
  </si>
  <si>
    <t>2025-07-03 15:58:07</t>
  </si>
  <si>
    <t>2025-12-20 16:35:01</t>
  </si>
  <si>
    <t>已完成DB清理作业</t>
  </si>
  <si>
    <t>IM25063323</t>
  </si>
  <si>
    <t>7月12日迁移WMS正式环境应用服务器集群</t>
  </si>
  <si>
    <t>2025-06-27 10:44:31</t>
  </si>
  <si>
    <t>2025-06-27 10:58:32</t>
  </si>
  <si>
    <t>2025-07-17 10:50:01</t>
  </si>
  <si>
    <t>IM25063072</t>
  </si>
  <si>
    <t>SMOM生产环境操作日志查询报错</t>
  </si>
  <si>
    <t>2025-06-24 15:27:56</t>
  </si>
  <si>
    <t>2025-06-24 15:32:10</t>
  </si>
  <si>
    <t>2025-06-28 08:50:01</t>
  </si>
  <si>
    <t>IM25062392</t>
  </si>
  <si>
    <t>生产环境数据库01节点磁盘占用超90%</t>
  </si>
  <si>
    <t>2025-06-17 10:09:57</t>
  </si>
  <si>
    <t>2025-06-19 14:59:32</t>
  </si>
  <si>
    <t>2025-07-11 17:10:06</t>
  </si>
  <si>
    <t>经排查，6月14日在没有挂载nfs磁盘的情况下做了一次数据库备份导致，确认不需要删除即可。路径【/backup_old/scwms/20250614】</t>
  </si>
  <si>
    <t>IM25062346</t>
  </si>
  <si>
    <t>WMS事务操作响应慢</t>
  </si>
  <si>
    <t>2025-06-16 17:06:27</t>
  </si>
  <si>
    <t>2025-06-16 17:18:46</t>
  </si>
  <si>
    <t>2025-07-04 16:45:01</t>
  </si>
  <si>
    <t>持续跟进1周，未再反馈此问题性能响应慢问题已经处理，并整理处理报告，邮件发送。</t>
  </si>
  <si>
    <t>IM25062238</t>
  </si>
  <si>
    <t>WMS正式环境业务会话数较高</t>
  </si>
  <si>
    <t>2025-06-16 09:59:08</t>
  </si>
  <si>
    <t>2025-06-16 17:18:54</t>
  </si>
  <si>
    <t>2025-08-15 14:20:01</t>
  </si>
  <si>
    <t>已处理,到目前为止未再发现数据库连接异常暴增现象。</t>
  </si>
  <si>
    <t>IM25060323</t>
  </si>
  <si>
    <t>委外出库单明细异常删除</t>
  </si>
  <si>
    <t>SIE_唐浩</t>
  </si>
  <si>
    <t>2025-06-04 12:33:44</t>
  </si>
  <si>
    <t>2025-06-06 14:36:49</t>
  </si>
  <si>
    <t>2025-06-27 16:15:01</t>
  </si>
  <si>
    <t>通过用户描述关键词【明细数据存在被幽灵、且明细单据状态为审核】，全局查询所有相关发运单明细会被幽灵的代码，发现只有在明细列表上的【删除按钮】和【合并操作】两处位置时才能进行幽灵，其余都没入口，另外跟用户确认此为第一次出现，之前未出现历史情况且此单被还原为可用状态无法深入研究。所以此问题单据初步判定为人为错误操作导致，后续且持续关注，如果再出现类似问题第一时间跟进排查。</t>
  </si>
  <si>
    <t>IM25052366</t>
  </si>
  <si>
    <t>采购入库ASN头行状态不一致</t>
  </si>
  <si>
    <t>2025-05-29 14:56:42</t>
  </si>
  <si>
    <t>2025-06-03 09:00:53</t>
  </si>
  <si>
    <t>2025-08-14 11:55:34</t>
  </si>
  <si>
    <t>IM25051750</t>
  </si>
  <si>
    <t>库存调拨数据异常</t>
  </si>
  <si>
    <t>2025-05-23 14:50:27</t>
  </si>
  <si>
    <t>2025-05-23 16:53:20</t>
  </si>
  <si>
    <t>2025-08-14 16:10:01</t>
  </si>
  <si>
    <t>IM25051440</t>
  </si>
  <si>
    <t>立库自动拣货接口（WcsWMSApiContrller-AutoPicking）偶发报错原因查找</t>
  </si>
  <si>
    <t>2025-05-21 09:07:20</t>
  </si>
  <si>
    <t>2025-05-21 09:12:28</t>
  </si>
  <si>
    <t>2025-05-29 08:55:01</t>
  </si>
  <si>
    <t>IM25051201</t>
  </si>
  <si>
    <t>MES工单发料接口报错</t>
  </si>
  <si>
    <t>2025-05-19 09:04:53</t>
  </si>
  <si>
    <t>2025-05-20 11:12:51</t>
  </si>
  <si>
    <t>2025-05-23 11:15:01</t>
  </si>
  <si>
    <t>IM25042398</t>
  </si>
  <si>
    <t>20250102国内服务器弱口令处理（redis、mq）</t>
  </si>
  <si>
    <t>2025-04-29 20:46:17</t>
  </si>
  <si>
    <t>2025-04-29 20:46:45</t>
  </si>
  <si>
    <t>2025-05-03 16:50:01</t>
  </si>
  <si>
    <t>已处理</t>
  </si>
  <si>
    <t>IM25042327</t>
  </si>
  <si>
    <t>采购订单下载JOB相同数据并发问题</t>
  </si>
  <si>
    <t>2025-04-29 11:56:47</t>
  </si>
  <si>
    <t>2025-04-29 14:06:46</t>
  </si>
  <si>
    <t>2025-05-10 11:35:01</t>
  </si>
  <si>
    <t>与黄聪老师沟通，是SAP原因导致重复推送，源头已解决考虑到在WMS里也是很极端的情况，以减少侵入为原则，本次建议WMS暂不处理，后续有新的情况，欢迎继续沟通</t>
  </si>
  <si>
    <t>IM25042323</t>
  </si>
  <si>
    <t>得力项目DB双机健康巡检报告中发现的问题改善处理</t>
  </si>
  <si>
    <t>2025-04-29 11:48:39</t>
  </si>
  <si>
    <t>2025-05-07 19:53:55</t>
  </si>
  <si>
    <t>2025-05-10 20:00:01</t>
  </si>
  <si>
    <t>已处理。</t>
  </si>
  <si>
    <t>IM25042055</t>
  </si>
  <si>
    <t>正式环境数据库服务器告警</t>
  </si>
  <si>
    <t>2025-04-27 10:18:12</t>
  </si>
  <si>
    <t>2025-04-27 11:17:29</t>
  </si>
  <si>
    <t>2025-04-30 11:20:01</t>
  </si>
  <si>
    <t>DELI_WMS表空间快达上线，已对其进行扩展，增加320G空间。</t>
  </si>
  <si>
    <t>IM25041388</t>
  </si>
  <si>
    <t>PDA标准收货提交效率问题</t>
  </si>
  <si>
    <t>2025-04-18 11:36:48</t>
  </si>
  <si>
    <t>2025-04-18 14:18:57</t>
  </si>
  <si>
    <t>2025-05-31 15:35:01</t>
  </si>
  <si>
    <t>已优化部分，其余都是相关性业务代码，无需优化</t>
  </si>
  <si>
    <t>IM25041311</t>
  </si>
  <si>
    <t>2025-04-17 15:28:37</t>
  </si>
  <si>
    <t>2025-04-17 18:06:07</t>
  </si>
  <si>
    <t>2025-04-21 11:25:01</t>
  </si>
  <si>
    <t>弱口令漏洞处理http://172.22.99.154:15672/修改guest密码为deliguest@w!$http://172.25.50.202:15672/修改guest密码为deliguest@w!$目录浏览漏洞处理http://172.25.50.202:2020/关闭2020端口目录浏览功能http://172.25.50.55:2000/&amp;nbsp;关闭2000端口目录浏览功能http://172.25.50.56:2000/&amp;nbsp;关闭2000端口目录浏览功能http://172.25.50.57:2000/&amp;nbsp;关闭2000端口目录浏览功能</t>
  </si>
  <si>
    <t>IM25041279</t>
  </si>
  <si>
    <t>得力项目_服务器健康巡检</t>
  </si>
  <si>
    <t>2025-04-17 10:19:36</t>
  </si>
  <si>
    <t>2025-04-17 18:06:57</t>
  </si>
  <si>
    <t>2025-09-22 20:25:40</t>
  </si>
  <si>
    <t>数据库服务器已巡检完毕</t>
  </si>
  <si>
    <t>IM25040682</t>
  </si>
  <si>
    <t>立库下架完成接口并发问题处理</t>
  </si>
  <si>
    <t>2025-04-09 11:42:45</t>
  </si>
  <si>
    <t>2025-04-09 11:44:31</t>
  </si>
  <si>
    <t>2025-05-09 09:15:01</t>
  </si>
  <si>
    <t>分配跟拣货拆分两个接口调用</t>
  </si>
  <si>
    <t>IM25040366</t>
  </si>
  <si>
    <t>一笔分配数据连续拣货两次导致后续单据拣货时提示分配数量不足</t>
  </si>
  <si>
    <t>2025-04-03 14:57:49</t>
  </si>
  <si>
    <t>2025-04-03 16:21:50</t>
  </si>
  <si>
    <t>IM25040006</t>
  </si>
  <si>
    <t>打印发运单时偶发报错</t>
  </si>
  <si>
    <t>2025-04-01 09:06:20</t>
  </si>
  <si>
    <t>2025-04-01 09:09:17</t>
  </si>
  <si>
    <t>2025-04-05 08:50:06</t>
  </si>
  <si>
    <t>IM25031261</t>
  </si>
  <si>
    <t>垛表生成编码异常</t>
  </si>
  <si>
    <t>SIE_李圣宇</t>
  </si>
  <si>
    <t>2025-03-14 17:31:50</t>
  </si>
  <si>
    <t>2025-03-14 18:20:06</t>
  </si>
  <si>
    <t>2025-05-22 10:45:01</t>
  </si>
  <si>
    <t>近一个月暂未复现，暂先关闭</t>
  </si>
  <si>
    <t>IM25030795</t>
  </si>
  <si>
    <t>弹窗无法加loading的方法</t>
  </si>
  <si>
    <t>2025-03-12 10:59:22</t>
  </si>
  <si>
    <t>2025-03-12 11:21:50</t>
  </si>
  <si>
    <t>2025-03-15 17:00:01</t>
  </si>
  <si>
    <t>远程调试代码，客户调整后验证确认OK，进行关单</t>
  </si>
  <si>
    <t>IM25020616</t>
  </si>
  <si>
    <t>越南UAT环境异常，打开报错（偶发）</t>
  </si>
  <si>
    <t>2025-02-13 14:51:32</t>
  </si>
  <si>
    <t>2025-02-13 15:32:54</t>
  </si>
  <si>
    <t>2025-10-22 08:32:50</t>
  </si>
  <si>
    <t>重启节点服务后，未再反馈</t>
  </si>
  <si>
    <t>IM25020284</t>
  </si>
  <si>
    <t>打印模板（.sied）数据源过滤</t>
  </si>
  <si>
    <t>2025-02-08 17:15:24</t>
  </si>
  <si>
    <t>2025-02-08 18:05:33</t>
  </si>
  <si>
    <t>2025-02-24 09:25:01</t>
  </si>
  <si>
    <t>IM24121213</t>
  </si>
  <si>
    <t>SMOM应用服务器磁盘空间不足</t>
  </si>
  <si>
    <t>2024-12-19 19:29:08</t>
  </si>
  <si>
    <t>2024-12-20 09:29:37</t>
  </si>
  <si>
    <t>2024-12-29 14:15:02</t>
  </si>
  <si>
    <t>1、检查不是docekr日志的占用原因：docker日志部署时也做好了限额配置2、原因找到了，这边docker配置过日志限制。是堆栈文件占用了，我先清理，释放，几台服务器都是一样的情况，core.xxxx历史文件可以删除，堡垒机上操作，需要系统管理员审批后执行删除一下.进行清理后：详细操作指令&amp;gt;df-hT&amp;gt;df-hT|grep-v'docker'&amp;gt;du-h--max-depth=1/app/smom/|sort-hr&amp;gt;&amp;nbsp;ll-lSh/app/smom/server/webapihost/core.*|head-15&amp;gt;&amp;nbsp;ll-lSh/app/smom/server/webclient/core.*|head-15##rm-rf&amp;nbsp;完整路径/core.*&amp;nbsp;,如果已经具体目录，就&amp;nbsp;rm-rf&amp;nbsp;core.*&amp;gt;rm-rf&amp;nbsp;/app/smom/server/webapihost/core.*&amp;gt;rm-rf&amp;nbsp;/app/smom/server/webclient/core.*&amp;gt;df-hT|grep-v'docker'co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</si>
</sst>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36"/>
      <color theme="1"/>
      <name val="微软雅黑"/>
      <charset val="134"/>
    </font>
    <font>
      <b/>
      <sz val="20"/>
      <color theme="1"/>
      <name val="微软雅黑"/>
      <charset val="134"/>
    </font>
    <font>
      <b/>
      <sz val="16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微软雅黑"/>
      <charset val="134"/>
    </font>
    <font>
      <sz val="16"/>
      <color theme="1"/>
      <name val="Arial"/>
      <charset val="134"/>
    </font>
    <font>
      <b/>
      <sz val="16"/>
      <color theme="1"/>
      <name val="Times New Roman"/>
      <charset val="134"/>
    </font>
    <font>
      <sz val="16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163195</xdr:colOff>
      <xdr:row>0</xdr:row>
      <xdr:rowOff>635</xdr:rowOff>
    </xdr:from>
    <xdr:to>
      <xdr:col>1</xdr:col>
      <xdr:colOff>504190</xdr:colOff>
      <xdr:row>2</xdr:row>
      <xdr:rowOff>194945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3195" y="635"/>
          <a:ext cx="2047875" cy="9639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58"/>
  <sheetViews>
    <sheetView tabSelected="1" zoomScale="60" zoomScaleNormal="60" workbookViewId="0">
      <selection activeCell="S7" sqref="S7"/>
    </sheetView>
  </sheetViews>
  <sheetFormatPr defaultColWidth="9.77777777777778" defaultRowHeight="15.6"/>
  <cols>
    <col min="1" max="1" width="24.8888888888889" style="5" customWidth="1"/>
    <col min="2" max="2" width="34.2222222222222" style="5" customWidth="1"/>
    <col min="3" max="3" width="17" style="5" customWidth="1"/>
    <col min="4" max="4" width="14.2222222222222" style="5" customWidth="1"/>
    <col min="5" max="5" width="14.7777777777778" style="5" customWidth="1"/>
    <col min="6" max="6" width="17.037037037037" style="5" customWidth="1"/>
    <col min="7" max="7" width="15.7777777777778" style="5" customWidth="1"/>
    <col min="8" max="8" width="23.7777777777778" style="5" customWidth="1"/>
    <col min="9" max="9" width="24.2222222222222" style="5" customWidth="1"/>
    <col min="10" max="10" width="23.6666666666667" style="5" customWidth="1"/>
    <col min="11" max="11" width="32.6666666666667" style="5" customWidth="1"/>
    <col min="12" max="12" width="23.6666666666667" style="5" customWidth="1"/>
    <col min="13" max="13" width="32.4074074074074" style="5" customWidth="1"/>
    <col min="14" max="16384" width="9.77777777777778" style="5"/>
  </cols>
  <sheetData>
    <row r="2" ht="45" customHeight="1"/>
    <row r="3" ht="55.05" customHeight="1" spans="1:13">
      <c r="A3" s="6" t="s">
        <v>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61.05" customHeight="1" spans="1:1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="1" customFormat="1" ht="34.95" customHeight="1" spans="1:13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="1" customFormat="1" ht="34.95" customHeight="1" spans="1:13">
      <c r="A6" s="8" t="s">
        <v>3</v>
      </c>
      <c r="B6" s="8"/>
      <c r="C6" s="8" t="s">
        <v>4</v>
      </c>
      <c r="D6" s="8"/>
      <c r="E6" s="8"/>
      <c r="F6" s="8"/>
      <c r="G6" s="8" t="s">
        <v>5</v>
      </c>
      <c r="H6" s="8"/>
      <c r="I6" s="8"/>
      <c r="J6" s="8" t="s">
        <v>6</v>
      </c>
      <c r="K6" s="8"/>
      <c r="L6" s="8"/>
      <c r="M6" s="8"/>
    </row>
    <row r="7" s="1" customFormat="1" ht="386" customHeight="1" spans="1:13">
      <c r="A7" s="9" t="s">
        <v>7</v>
      </c>
      <c r="B7" s="9"/>
      <c r="C7" s="9"/>
      <c r="D7" s="9"/>
      <c r="E7" s="9"/>
      <c r="F7" s="9"/>
      <c r="G7" s="9"/>
      <c r="H7" s="9"/>
      <c r="I7" s="9"/>
      <c r="J7" s="9"/>
      <c r="K7" s="10" t="str">
        <f>_xlfn.DISPIMG("ID_ED1626B374A443459FB7557F66F2828C",1)</f>
        <v>=DISPIMG("ID_ED1626B374A443459FB7557F66F2828C",1)</v>
      </c>
      <c r="L7" s="10"/>
      <c r="M7" s="10"/>
    </row>
    <row r="8" s="2" customFormat="1" ht="331" customHeight="1" spans="1:13">
      <c r="A8" s="9"/>
      <c r="B8" s="9"/>
      <c r="C8" s="9"/>
      <c r="D8" s="9"/>
      <c r="E8" s="9"/>
      <c r="F8" s="9"/>
      <c r="G8" s="9"/>
      <c r="H8" s="9"/>
      <c r="I8" s="9"/>
      <c r="J8" s="9"/>
      <c r="K8" s="10"/>
      <c r="L8" s="10"/>
      <c r="M8" s="10"/>
    </row>
    <row r="9" s="2" customFormat="1" ht="45" customHeight="1" spans="1:13">
      <c r="A9" s="8" t="s">
        <v>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s="3" customFormat="1" ht="43.95" customHeight="1" spans="1:13">
      <c r="A10" s="11" t="s">
        <v>9</v>
      </c>
      <c r="B10" s="11" t="s">
        <v>10</v>
      </c>
      <c r="C10" s="11" t="s">
        <v>11</v>
      </c>
      <c r="D10" s="11" t="s">
        <v>12</v>
      </c>
      <c r="E10" s="11" t="s">
        <v>13</v>
      </c>
      <c r="F10" s="11" t="s">
        <v>14</v>
      </c>
      <c r="G10" s="11" t="s">
        <v>15</v>
      </c>
      <c r="H10" s="11" t="s">
        <v>16</v>
      </c>
      <c r="I10" s="11" t="s">
        <v>17</v>
      </c>
      <c r="J10" s="11" t="s">
        <v>18</v>
      </c>
      <c r="K10" s="11" t="s">
        <v>19</v>
      </c>
      <c r="L10" s="11" t="s">
        <v>20</v>
      </c>
      <c r="M10" s="11" t="s">
        <v>21</v>
      </c>
    </row>
    <row r="11" s="3" customFormat="1" ht="57.6" spans="1:13">
      <c r="A11" s="12" t="s">
        <v>22</v>
      </c>
      <c r="B11" s="12" t="s">
        <v>23</v>
      </c>
      <c r="C11" s="12" t="s">
        <v>24</v>
      </c>
      <c r="D11" s="12" t="s">
        <v>25</v>
      </c>
      <c r="E11" s="12" t="s">
        <v>26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2" t="s">
        <v>33</v>
      </c>
      <c r="M11" s="12" t="s">
        <v>34</v>
      </c>
    </row>
    <row r="12" s="4" customFormat="1" ht="67.95" customHeight="1" spans="1:13">
      <c r="A12" s="12" t="s">
        <v>35</v>
      </c>
      <c r="B12" s="12" t="s">
        <v>36</v>
      </c>
      <c r="C12" s="12" t="s">
        <v>37</v>
      </c>
      <c r="D12" s="12" t="s">
        <v>25</v>
      </c>
      <c r="E12" s="12" t="s">
        <v>26</v>
      </c>
      <c r="F12" s="12" t="s">
        <v>27</v>
      </c>
      <c r="G12" s="12" t="s">
        <v>38</v>
      </c>
      <c r="H12" s="12" t="s">
        <v>39</v>
      </c>
      <c r="I12" s="12" t="s">
        <v>40</v>
      </c>
      <c r="J12" s="12" t="s">
        <v>41</v>
      </c>
      <c r="K12" s="12" t="s">
        <v>32</v>
      </c>
      <c r="L12" s="12" t="s">
        <v>42</v>
      </c>
      <c r="M12" s="12" t="s">
        <v>43</v>
      </c>
    </row>
    <row r="13" ht="67.95" customHeight="1" spans="1:13">
      <c r="A13" s="12" t="s">
        <v>44</v>
      </c>
      <c r="B13" s="12" t="s">
        <v>45</v>
      </c>
      <c r="C13" s="12" t="s">
        <v>46</v>
      </c>
      <c r="D13" s="12" t="s">
        <v>25</v>
      </c>
      <c r="E13" s="12" t="s">
        <v>26</v>
      </c>
      <c r="F13" s="12" t="s">
        <v>27</v>
      </c>
      <c r="G13" s="12" t="s">
        <v>28</v>
      </c>
      <c r="H13" s="12" t="s">
        <v>47</v>
      </c>
      <c r="I13" s="12" t="s">
        <v>48</v>
      </c>
      <c r="J13" s="12" t="s">
        <v>49</v>
      </c>
      <c r="K13" s="12" t="s">
        <v>32</v>
      </c>
      <c r="L13" s="12" t="s">
        <v>42</v>
      </c>
      <c r="M13" s="12" t="s">
        <v>50</v>
      </c>
    </row>
    <row r="14" ht="67.95" customHeight="1" spans="1:13">
      <c r="A14" s="12" t="s">
        <v>51</v>
      </c>
      <c r="B14" s="12" t="s">
        <v>52</v>
      </c>
      <c r="C14" s="12" t="s">
        <v>53</v>
      </c>
      <c r="D14" s="12" t="s">
        <v>25</v>
      </c>
      <c r="E14" s="12" t="s">
        <v>26</v>
      </c>
      <c r="F14" s="12" t="s">
        <v>27</v>
      </c>
      <c r="G14" s="12" t="s">
        <v>54</v>
      </c>
      <c r="H14" s="12" t="s">
        <v>55</v>
      </c>
      <c r="I14" s="12" t="s">
        <v>56</v>
      </c>
      <c r="J14" s="12" t="s">
        <v>41</v>
      </c>
      <c r="K14" s="12" t="s">
        <v>32</v>
      </c>
      <c r="L14" s="12" t="s">
        <v>42</v>
      </c>
      <c r="M14" s="12" t="s">
        <v>57</v>
      </c>
    </row>
    <row r="15" ht="67.95" customHeight="1" spans="1:13">
      <c r="A15" s="12" t="s">
        <v>58</v>
      </c>
      <c r="B15" s="12" t="s">
        <v>59</v>
      </c>
      <c r="C15" s="12" t="s">
        <v>46</v>
      </c>
      <c r="D15" s="12" t="s">
        <v>25</v>
      </c>
      <c r="E15" s="12" t="s">
        <v>26</v>
      </c>
      <c r="F15" s="12" t="s">
        <v>27</v>
      </c>
      <c r="G15" s="12" t="s">
        <v>28</v>
      </c>
      <c r="H15" s="12" t="s">
        <v>60</v>
      </c>
      <c r="I15" s="12" t="s">
        <v>61</v>
      </c>
      <c r="J15" s="12" t="s">
        <v>49</v>
      </c>
      <c r="K15" s="12" t="s">
        <v>32</v>
      </c>
      <c r="L15" s="12" t="s">
        <v>62</v>
      </c>
      <c r="M15" s="12" t="s">
        <v>63</v>
      </c>
    </row>
    <row r="16" ht="67.95" customHeight="1" spans="1:13">
      <c r="A16" s="12" t="s">
        <v>64</v>
      </c>
      <c r="B16" s="12" t="s">
        <v>65</v>
      </c>
      <c r="C16" s="12" t="s">
        <v>46</v>
      </c>
      <c r="D16" s="12" t="s">
        <v>25</v>
      </c>
      <c r="E16" s="12" t="s">
        <v>66</v>
      </c>
      <c r="F16" s="12" t="s">
        <v>27</v>
      </c>
      <c r="G16" s="12" t="s">
        <v>67</v>
      </c>
      <c r="H16" s="12" t="s">
        <v>68</v>
      </c>
      <c r="I16" s="12" t="s">
        <v>69</v>
      </c>
      <c r="J16" s="12" t="s">
        <v>70</v>
      </c>
      <c r="K16" s="12" t="s">
        <v>32</v>
      </c>
      <c r="L16" s="12" t="s">
        <v>62</v>
      </c>
      <c r="M16" s="12" t="s">
        <v>71</v>
      </c>
    </row>
    <row r="17" ht="67.95" customHeight="1" spans="1:13">
      <c r="A17" s="12" t="s">
        <v>72</v>
      </c>
      <c r="B17" s="12" t="s">
        <v>73</v>
      </c>
      <c r="C17" s="12" t="s">
        <v>46</v>
      </c>
      <c r="D17" s="12" t="s">
        <v>25</v>
      </c>
      <c r="E17" s="12" t="s">
        <v>26</v>
      </c>
      <c r="F17" s="12" t="s">
        <v>27</v>
      </c>
      <c r="G17" s="12" t="s">
        <v>38</v>
      </c>
      <c r="H17" s="12" t="s">
        <v>74</v>
      </c>
      <c r="I17" s="12" t="s">
        <v>75</v>
      </c>
      <c r="J17" s="12" t="s">
        <v>76</v>
      </c>
      <c r="K17" s="12" t="s">
        <v>32</v>
      </c>
      <c r="L17" s="12" t="s">
        <v>33</v>
      </c>
      <c r="M17" s="12" t="s">
        <v>24</v>
      </c>
    </row>
    <row r="18" ht="67.95" customHeight="1" spans="1:13">
      <c r="A18" s="12" t="s">
        <v>77</v>
      </c>
      <c r="B18" s="12" t="s">
        <v>78</v>
      </c>
      <c r="C18" s="12" t="s">
        <v>46</v>
      </c>
      <c r="D18" s="12" t="s">
        <v>25</v>
      </c>
      <c r="E18" s="12" t="s">
        <v>66</v>
      </c>
      <c r="F18" s="12" t="s">
        <v>27</v>
      </c>
      <c r="G18" s="12" t="s">
        <v>67</v>
      </c>
      <c r="H18" s="12" t="s">
        <v>79</v>
      </c>
      <c r="I18" s="12" t="s">
        <v>80</v>
      </c>
      <c r="J18" s="12" t="s">
        <v>81</v>
      </c>
      <c r="K18" s="12" t="s">
        <v>32</v>
      </c>
      <c r="L18" s="12" t="s">
        <v>82</v>
      </c>
      <c r="M18" s="12" t="s">
        <v>83</v>
      </c>
    </row>
    <row r="19" ht="67.95" customHeight="1" spans="1:13">
      <c r="A19" s="12" t="s">
        <v>84</v>
      </c>
      <c r="B19" s="12" t="s">
        <v>85</v>
      </c>
      <c r="C19" s="12" t="s">
        <v>46</v>
      </c>
      <c r="D19" s="12" t="s">
        <v>25</v>
      </c>
      <c r="E19" s="12" t="s">
        <v>66</v>
      </c>
      <c r="F19" s="12" t="s">
        <v>27</v>
      </c>
      <c r="G19" s="12" t="s">
        <v>67</v>
      </c>
      <c r="H19" s="12" t="s">
        <v>86</v>
      </c>
      <c r="I19" s="12" t="s">
        <v>87</v>
      </c>
      <c r="J19" s="12" t="s">
        <v>88</v>
      </c>
      <c r="K19" s="12" t="s">
        <v>32</v>
      </c>
      <c r="L19" s="12" t="s">
        <v>82</v>
      </c>
      <c r="M19" s="12" t="s">
        <v>89</v>
      </c>
    </row>
    <row r="20" ht="67.95" customHeight="1" spans="1:13">
      <c r="A20" s="12" t="s">
        <v>90</v>
      </c>
      <c r="B20" s="12" t="s">
        <v>91</v>
      </c>
      <c r="C20" s="12" t="s">
        <v>46</v>
      </c>
      <c r="D20" s="12" t="s">
        <v>25</v>
      </c>
      <c r="E20" s="12" t="s">
        <v>26</v>
      </c>
      <c r="F20" s="12" t="s">
        <v>27</v>
      </c>
      <c r="G20" s="12" t="s">
        <v>38</v>
      </c>
      <c r="H20" s="12" t="s">
        <v>92</v>
      </c>
      <c r="I20" s="12" t="s">
        <v>93</v>
      </c>
      <c r="J20" s="12" t="s">
        <v>94</v>
      </c>
      <c r="K20" s="12" t="s">
        <v>32</v>
      </c>
      <c r="L20" s="12" t="s">
        <v>33</v>
      </c>
      <c r="M20" s="12" t="s">
        <v>95</v>
      </c>
    </row>
    <row r="21" ht="67.95" customHeight="1" spans="1:13">
      <c r="A21" s="12" t="s">
        <v>96</v>
      </c>
      <c r="B21" s="12" t="s">
        <v>97</v>
      </c>
      <c r="C21" s="12" t="s">
        <v>46</v>
      </c>
      <c r="D21" s="12" t="s">
        <v>25</v>
      </c>
      <c r="E21" s="12" t="s">
        <v>26</v>
      </c>
      <c r="F21" s="12" t="s">
        <v>27</v>
      </c>
      <c r="G21" s="12" t="s">
        <v>38</v>
      </c>
      <c r="H21" s="12" t="s">
        <v>98</v>
      </c>
      <c r="I21" s="12" t="s">
        <v>99</v>
      </c>
      <c r="J21" s="12" t="s">
        <v>100</v>
      </c>
      <c r="K21" s="12" t="s">
        <v>32</v>
      </c>
      <c r="L21" s="12" t="s">
        <v>33</v>
      </c>
      <c r="M21" s="12" t="s">
        <v>24</v>
      </c>
    </row>
    <row r="22" ht="67.95" customHeight="1" spans="1:13">
      <c r="A22" s="12" t="s">
        <v>101</v>
      </c>
      <c r="B22" s="12" t="s">
        <v>102</v>
      </c>
      <c r="C22" s="12" t="s">
        <v>46</v>
      </c>
      <c r="D22" s="12" t="s">
        <v>25</v>
      </c>
      <c r="E22" s="12" t="s">
        <v>66</v>
      </c>
      <c r="F22" s="12" t="s">
        <v>28</v>
      </c>
      <c r="G22" s="12" t="s">
        <v>67</v>
      </c>
      <c r="H22" s="12" t="s">
        <v>103</v>
      </c>
      <c r="I22" s="12" t="s">
        <v>104</v>
      </c>
      <c r="J22" s="12" t="s">
        <v>105</v>
      </c>
      <c r="K22" s="12" t="s">
        <v>32</v>
      </c>
      <c r="L22" s="12" t="s">
        <v>106</v>
      </c>
      <c r="M22" s="12" t="s">
        <v>107</v>
      </c>
    </row>
    <row r="23" ht="67.95" customHeight="1" spans="1:13">
      <c r="A23" s="12" t="s">
        <v>108</v>
      </c>
      <c r="B23" s="12" t="s">
        <v>109</v>
      </c>
      <c r="C23" s="12" t="s">
        <v>46</v>
      </c>
      <c r="D23" s="12" t="s">
        <v>25</v>
      </c>
      <c r="E23" s="12" t="s">
        <v>26</v>
      </c>
      <c r="F23" s="12" t="s">
        <v>27</v>
      </c>
      <c r="G23" s="12" t="s">
        <v>38</v>
      </c>
      <c r="H23" s="12" t="s">
        <v>110</v>
      </c>
      <c r="I23" s="12" t="s">
        <v>111</v>
      </c>
      <c r="J23" s="12" t="s">
        <v>112</v>
      </c>
      <c r="K23" s="12" t="s">
        <v>32</v>
      </c>
      <c r="L23" s="12" t="s">
        <v>42</v>
      </c>
      <c r="M23" s="12" t="s">
        <v>24</v>
      </c>
    </row>
    <row r="24" ht="67.95" customHeight="1" spans="1:13">
      <c r="A24" s="12" t="s">
        <v>113</v>
      </c>
      <c r="B24" s="12" t="s">
        <v>114</v>
      </c>
      <c r="C24" s="12" t="s">
        <v>46</v>
      </c>
      <c r="D24" s="12" t="s">
        <v>25</v>
      </c>
      <c r="E24" s="12" t="s">
        <v>26</v>
      </c>
      <c r="F24" s="12" t="s">
        <v>27</v>
      </c>
      <c r="G24" s="12" t="s">
        <v>38</v>
      </c>
      <c r="H24" s="12" t="s">
        <v>115</v>
      </c>
      <c r="I24" s="12" t="s">
        <v>116</v>
      </c>
      <c r="J24" s="12" t="s">
        <v>117</v>
      </c>
      <c r="K24" s="12" t="s">
        <v>32</v>
      </c>
      <c r="L24" s="12" t="s">
        <v>33</v>
      </c>
      <c r="M24" s="12" t="s">
        <v>118</v>
      </c>
    </row>
    <row r="25" ht="67.95" customHeight="1" spans="1:13">
      <c r="A25" s="12" t="s">
        <v>119</v>
      </c>
      <c r="B25" s="12" t="s">
        <v>36</v>
      </c>
      <c r="C25" s="12" t="s">
        <v>46</v>
      </c>
      <c r="D25" s="12" t="s">
        <v>25</v>
      </c>
      <c r="E25" s="12" t="s">
        <v>26</v>
      </c>
      <c r="F25" s="12" t="s">
        <v>27</v>
      </c>
      <c r="G25" s="12" t="s">
        <v>38</v>
      </c>
      <c r="H25" s="12" t="s">
        <v>120</v>
      </c>
      <c r="I25" s="12" t="s">
        <v>121</v>
      </c>
      <c r="J25" s="12" t="s">
        <v>122</v>
      </c>
      <c r="K25" s="12" t="s">
        <v>32</v>
      </c>
      <c r="L25" s="12" t="s">
        <v>33</v>
      </c>
      <c r="M25" s="12" t="s">
        <v>24</v>
      </c>
    </row>
    <row r="26" ht="67.95" customHeight="1" spans="1:13">
      <c r="A26" s="12" t="s">
        <v>123</v>
      </c>
      <c r="B26" s="12" t="s">
        <v>124</v>
      </c>
      <c r="C26" s="12" t="s">
        <v>46</v>
      </c>
      <c r="D26" s="12" t="s">
        <v>25</v>
      </c>
      <c r="E26" s="12" t="s">
        <v>26</v>
      </c>
      <c r="F26" s="12" t="s">
        <v>27</v>
      </c>
      <c r="G26" s="12" t="s">
        <v>38</v>
      </c>
      <c r="H26" s="12" t="s">
        <v>125</v>
      </c>
      <c r="I26" s="12" t="s">
        <v>126</v>
      </c>
      <c r="J26" s="12" t="s">
        <v>127</v>
      </c>
      <c r="K26" s="12" t="s">
        <v>32</v>
      </c>
      <c r="L26" s="12" t="s">
        <v>42</v>
      </c>
      <c r="M26" s="12" t="s">
        <v>24</v>
      </c>
    </row>
    <row r="27" ht="67.95" customHeight="1" spans="1:13">
      <c r="A27" s="12" t="s">
        <v>128</v>
      </c>
      <c r="B27" s="12" t="s">
        <v>129</v>
      </c>
      <c r="C27" s="12" t="s">
        <v>46</v>
      </c>
      <c r="D27" s="12" t="s">
        <v>25</v>
      </c>
      <c r="E27" s="12" t="s">
        <v>26</v>
      </c>
      <c r="F27" s="12" t="s">
        <v>27</v>
      </c>
      <c r="G27" s="12" t="s">
        <v>38</v>
      </c>
      <c r="H27" s="12" t="s">
        <v>130</v>
      </c>
      <c r="I27" s="12" t="s">
        <v>131</v>
      </c>
      <c r="J27" s="12" t="s">
        <v>132</v>
      </c>
      <c r="K27" s="12" t="s">
        <v>32</v>
      </c>
      <c r="L27" s="12" t="s">
        <v>33</v>
      </c>
      <c r="M27" s="12" t="s">
        <v>133</v>
      </c>
    </row>
    <row r="28" ht="67.95" customHeight="1" spans="1:13">
      <c r="A28" s="12" t="s">
        <v>134</v>
      </c>
      <c r="B28" s="12" t="s">
        <v>135</v>
      </c>
      <c r="C28" s="12" t="s">
        <v>46</v>
      </c>
      <c r="D28" s="12" t="s">
        <v>25</v>
      </c>
      <c r="E28" s="12" t="s">
        <v>26</v>
      </c>
      <c r="F28" s="12" t="s">
        <v>27</v>
      </c>
      <c r="G28" s="12" t="s">
        <v>28</v>
      </c>
      <c r="H28" s="12" t="s">
        <v>136</v>
      </c>
      <c r="I28" s="12" t="s">
        <v>137</v>
      </c>
      <c r="J28" s="12" t="s">
        <v>49</v>
      </c>
      <c r="K28" s="12" t="s">
        <v>32</v>
      </c>
      <c r="L28" s="12" t="s">
        <v>138</v>
      </c>
      <c r="M28" s="12" t="s">
        <v>139</v>
      </c>
    </row>
    <row r="29" ht="67.95" customHeight="1" spans="1:13">
      <c r="A29" s="12" t="s">
        <v>140</v>
      </c>
      <c r="B29" s="12" t="s">
        <v>141</v>
      </c>
      <c r="C29" s="12" t="s">
        <v>46</v>
      </c>
      <c r="D29" s="12" t="s">
        <v>25</v>
      </c>
      <c r="E29" s="12" t="s">
        <v>26</v>
      </c>
      <c r="F29" s="12" t="s">
        <v>27</v>
      </c>
      <c r="G29" s="12" t="s">
        <v>38</v>
      </c>
      <c r="H29" s="12" t="s">
        <v>142</v>
      </c>
      <c r="I29" s="12" t="s">
        <v>143</v>
      </c>
      <c r="J29" s="12" t="s">
        <v>144</v>
      </c>
      <c r="K29" s="12" t="s">
        <v>32</v>
      </c>
      <c r="L29" s="12" t="s">
        <v>145</v>
      </c>
      <c r="M29" s="12" t="s">
        <v>24</v>
      </c>
    </row>
    <row r="30" ht="67.95" customHeight="1" spans="1:13">
      <c r="A30" s="12" t="s">
        <v>146</v>
      </c>
      <c r="B30" s="12" t="s">
        <v>147</v>
      </c>
      <c r="C30" s="12" t="s">
        <v>46</v>
      </c>
      <c r="D30" s="12" t="s">
        <v>25</v>
      </c>
      <c r="E30" s="12" t="s">
        <v>26</v>
      </c>
      <c r="F30" s="12" t="s">
        <v>27</v>
      </c>
      <c r="G30" s="12" t="s">
        <v>38</v>
      </c>
      <c r="H30" s="12" t="s">
        <v>148</v>
      </c>
      <c r="I30" s="12" t="s">
        <v>149</v>
      </c>
      <c r="J30" s="12" t="s">
        <v>150</v>
      </c>
      <c r="K30" s="12" t="s">
        <v>32</v>
      </c>
      <c r="L30" s="12" t="s">
        <v>42</v>
      </c>
      <c r="M30" s="12" t="s">
        <v>24</v>
      </c>
    </row>
    <row r="31" ht="67.95" customHeight="1" spans="1:13">
      <c r="A31" s="12" t="s">
        <v>151</v>
      </c>
      <c r="B31" s="12" t="s">
        <v>152</v>
      </c>
      <c r="C31" s="12" t="s">
        <v>46</v>
      </c>
      <c r="D31" s="12" t="s">
        <v>25</v>
      </c>
      <c r="E31" s="12" t="s">
        <v>26</v>
      </c>
      <c r="F31" s="12" t="s">
        <v>27</v>
      </c>
      <c r="G31" s="12" t="s">
        <v>54</v>
      </c>
      <c r="H31" s="12" t="s">
        <v>153</v>
      </c>
      <c r="I31" s="12" t="s">
        <v>154</v>
      </c>
      <c r="J31" s="12" t="s">
        <v>155</v>
      </c>
      <c r="K31" s="12" t="s">
        <v>32</v>
      </c>
      <c r="L31" s="12" t="s">
        <v>156</v>
      </c>
      <c r="M31" s="12" t="s">
        <v>157</v>
      </c>
    </row>
    <row r="32" ht="67.95" customHeight="1" spans="1:13">
      <c r="A32" s="12" t="s">
        <v>158</v>
      </c>
      <c r="B32" s="12" t="s">
        <v>159</v>
      </c>
      <c r="C32" s="12" t="s">
        <v>46</v>
      </c>
      <c r="D32" s="12" t="s">
        <v>25</v>
      </c>
      <c r="E32" s="12" t="s">
        <v>26</v>
      </c>
      <c r="F32" s="12" t="s">
        <v>27</v>
      </c>
      <c r="G32" s="12" t="s">
        <v>38</v>
      </c>
      <c r="H32" s="12" t="s">
        <v>160</v>
      </c>
      <c r="I32" s="12" t="s">
        <v>161</v>
      </c>
      <c r="J32" s="12" t="s">
        <v>162</v>
      </c>
      <c r="K32" s="12" t="s">
        <v>32</v>
      </c>
      <c r="L32" s="12" t="s">
        <v>42</v>
      </c>
      <c r="M32" s="12" t="s">
        <v>24</v>
      </c>
    </row>
    <row r="33" ht="67.95" customHeight="1" spans="1:13">
      <c r="A33" s="12" t="s">
        <v>163</v>
      </c>
      <c r="B33" s="12" t="s">
        <v>164</v>
      </c>
      <c r="C33" s="12" t="s">
        <v>46</v>
      </c>
      <c r="D33" s="12" t="s">
        <v>25</v>
      </c>
      <c r="E33" s="12" t="s">
        <v>26</v>
      </c>
      <c r="F33" s="12" t="s">
        <v>27</v>
      </c>
      <c r="G33" s="12" t="s">
        <v>54</v>
      </c>
      <c r="H33" s="12" t="s">
        <v>165</v>
      </c>
      <c r="I33" s="12" t="s">
        <v>166</v>
      </c>
      <c r="J33" s="12" t="s">
        <v>167</v>
      </c>
      <c r="K33" s="12" t="s">
        <v>32</v>
      </c>
      <c r="L33" s="12" t="s">
        <v>33</v>
      </c>
      <c r="M33" s="12" t="s">
        <v>168</v>
      </c>
    </row>
    <row r="34" ht="67.95" customHeight="1" spans="1:13">
      <c r="A34" s="12" t="s">
        <v>169</v>
      </c>
      <c r="B34" s="12" t="s">
        <v>170</v>
      </c>
      <c r="C34" s="12" t="s">
        <v>46</v>
      </c>
      <c r="D34" s="12" t="s">
        <v>25</v>
      </c>
      <c r="E34" s="12" t="s">
        <v>26</v>
      </c>
      <c r="F34" s="12" t="s">
        <v>27</v>
      </c>
      <c r="G34" s="12" t="s">
        <v>38</v>
      </c>
      <c r="H34" s="12" t="s">
        <v>171</v>
      </c>
      <c r="I34" s="12" t="s">
        <v>172</v>
      </c>
      <c r="J34" s="12" t="s">
        <v>173</v>
      </c>
      <c r="K34" s="12" t="s">
        <v>32</v>
      </c>
      <c r="L34" s="12" t="s">
        <v>62</v>
      </c>
      <c r="M34" s="12" t="s">
        <v>24</v>
      </c>
    </row>
    <row r="35" ht="67.95" customHeight="1" spans="1:13">
      <c r="A35" s="12" t="s">
        <v>174</v>
      </c>
      <c r="B35" s="12" t="s">
        <v>175</v>
      </c>
      <c r="C35" s="12" t="s">
        <v>46</v>
      </c>
      <c r="D35" s="12" t="s">
        <v>25</v>
      </c>
      <c r="E35" s="12" t="s">
        <v>26</v>
      </c>
      <c r="F35" s="12" t="s">
        <v>27</v>
      </c>
      <c r="G35" s="12" t="s">
        <v>38</v>
      </c>
      <c r="H35" s="12" t="s">
        <v>176</v>
      </c>
      <c r="I35" s="12" t="s">
        <v>177</v>
      </c>
      <c r="J35" s="12" t="s">
        <v>178</v>
      </c>
      <c r="K35" s="12" t="s">
        <v>32</v>
      </c>
      <c r="L35" s="12" t="s">
        <v>42</v>
      </c>
      <c r="M35" s="12" t="s">
        <v>24</v>
      </c>
    </row>
    <row r="36" ht="67.95" customHeight="1" spans="1:13">
      <c r="A36" s="12" t="s">
        <v>179</v>
      </c>
      <c r="B36" s="12" t="s">
        <v>180</v>
      </c>
      <c r="C36" s="12" t="s">
        <v>46</v>
      </c>
      <c r="D36" s="12" t="s">
        <v>25</v>
      </c>
      <c r="E36" s="12" t="s">
        <v>66</v>
      </c>
      <c r="F36" s="12" t="s">
        <v>27</v>
      </c>
      <c r="G36" s="12" t="s">
        <v>67</v>
      </c>
      <c r="H36" s="12" t="s">
        <v>181</v>
      </c>
      <c r="I36" s="12" t="s">
        <v>182</v>
      </c>
      <c r="J36" s="12" t="s">
        <v>183</v>
      </c>
      <c r="K36" s="12" t="s">
        <v>32</v>
      </c>
      <c r="L36" s="12" t="s">
        <v>62</v>
      </c>
      <c r="M36" s="12" t="s">
        <v>184</v>
      </c>
    </row>
    <row r="37" ht="67.95" customHeight="1" spans="1:13">
      <c r="A37" s="12" t="s">
        <v>185</v>
      </c>
      <c r="B37" s="12" t="s">
        <v>186</v>
      </c>
      <c r="C37" s="12" t="s">
        <v>46</v>
      </c>
      <c r="D37" s="12" t="s">
        <v>25</v>
      </c>
      <c r="E37" s="12" t="s">
        <v>26</v>
      </c>
      <c r="F37" s="12" t="s">
        <v>27</v>
      </c>
      <c r="G37" s="12" t="s">
        <v>28</v>
      </c>
      <c r="H37" s="12" t="s">
        <v>187</v>
      </c>
      <c r="I37" s="12" t="s">
        <v>188</v>
      </c>
      <c r="J37" s="12" t="s">
        <v>189</v>
      </c>
      <c r="K37" s="12" t="s">
        <v>32</v>
      </c>
      <c r="L37" s="12" t="s">
        <v>33</v>
      </c>
      <c r="M37" s="12" t="s">
        <v>190</v>
      </c>
    </row>
    <row r="38" ht="67.95" customHeight="1" spans="1:13">
      <c r="A38" s="12" t="s">
        <v>191</v>
      </c>
      <c r="B38" s="12" t="s">
        <v>192</v>
      </c>
      <c r="C38" s="12" t="s">
        <v>46</v>
      </c>
      <c r="D38" s="12" t="s">
        <v>25</v>
      </c>
      <c r="E38" s="12" t="s">
        <v>66</v>
      </c>
      <c r="F38" s="12" t="s">
        <v>27</v>
      </c>
      <c r="G38" s="12" t="s">
        <v>67</v>
      </c>
      <c r="H38" s="12" t="s">
        <v>193</v>
      </c>
      <c r="I38" s="12" t="s">
        <v>194</v>
      </c>
      <c r="J38" s="12" t="s">
        <v>195</v>
      </c>
      <c r="K38" s="12" t="s">
        <v>32</v>
      </c>
      <c r="L38" s="12" t="s">
        <v>62</v>
      </c>
      <c r="M38" s="12" t="s">
        <v>196</v>
      </c>
    </row>
    <row r="39" ht="67.95" customHeight="1" spans="1:13">
      <c r="A39" s="12" t="s">
        <v>197</v>
      </c>
      <c r="B39" s="12" t="s">
        <v>198</v>
      </c>
      <c r="C39" s="12" t="s">
        <v>46</v>
      </c>
      <c r="D39" s="12" t="s">
        <v>25</v>
      </c>
      <c r="E39" s="12" t="s">
        <v>26</v>
      </c>
      <c r="F39" s="12" t="s">
        <v>27</v>
      </c>
      <c r="G39" s="12" t="s">
        <v>199</v>
      </c>
      <c r="H39" s="12" t="s">
        <v>200</v>
      </c>
      <c r="I39" s="12" t="s">
        <v>201</v>
      </c>
      <c r="J39" s="12" t="s">
        <v>202</v>
      </c>
      <c r="K39" s="12" t="s">
        <v>32</v>
      </c>
      <c r="L39" s="12" t="s">
        <v>42</v>
      </c>
      <c r="M39" s="12" t="s">
        <v>203</v>
      </c>
    </row>
    <row r="40" ht="67.95" customHeight="1" spans="1:13">
      <c r="A40" s="12" t="s">
        <v>204</v>
      </c>
      <c r="B40" s="12" t="s">
        <v>205</v>
      </c>
      <c r="C40" s="12" t="s">
        <v>46</v>
      </c>
      <c r="D40" s="12" t="s">
        <v>25</v>
      </c>
      <c r="E40" s="12" t="s">
        <v>26</v>
      </c>
      <c r="F40" s="12" t="s">
        <v>27</v>
      </c>
      <c r="G40" s="12" t="s">
        <v>38</v>
      </c>
      <c r="H40" s="12" t="s">
        <v>206</v>
      </c>
      <c r="I40" s="12" t="s">
        <v>207</v>
      </c>
      <c r="J40" s="12" t="s">
        <v>208</v>
      </c>
      <c r="K40" s="12" t="s">
        <v>32</v>
      </c>
      <c r="L40" s="12" t="s">
        <v>42</v>
      </c>
      <c r="M40" s="12" t="s">
        <v>24</v>
      </c>
    </row>
    <row r="41" ht="67.95" customHeight="1" spans="1:13">
      <c r="A41" s="12" t="s">
        <v>209</v>
      </c>
      <c r="B41" s="12" t="s">
        <v>210</v>
      </c>
      <c r="C41" s="12" t="s">
        <v>46</v>
      </c>
      <c r="D41" s="12" t="s">
        <v>25</v>
      </c>
      <c r="E41" s="12" t="s">
        <v>26</v>
      </c>
      <c r="F41" s="12" t="s">
        <v>27</v>
      </c>
      <c r="G41" s="12" t="s">
        <v>38</v>
      </c>
      <c r="H41" s="12" t="s">
        <v>211</v>
      </c>
      <c r="I41" s="12" t="s">
        <v>212</v>
      </c>
      <c r="J41" s="12" t="s">
        <v>213</v>
      </c>
      <c r="K41" s="12" t="s">
        <v>32</v>
      </c>
      <c r="L41" s="12" t="s">
        <v>42</v>
      </c>
      <c r="M41" s="12" t="s">
        <v>24</v>
      </c>
    </row>
    <row r="42" ht="67.95" customHeight="1" spans="1:13">
      <c r="A42" s="12" t="s">
        <v>214</v>
      </c>
      <c r="B42" s="12" t="s">
        <v>215</v>
      </c>
      <c r="C42" s="12" t="s">
        <v>46</v>
      </c>
      <c r="D42" s="12" t="s">
        <v>25</v>
      </c>
      <c r="E42" s="12" t="s">
        <v>26</v>
      </c>
      <c r="F42" s="12" t="s">
        <v>27</v>
      </c>
      <c r="G42" s="12" t="s">
        <v>38</v>
      </c>
      <c r="H42" s="12" t="s">
        <v>216</v>
      </c>
      <c r="I42" s="12" t="s">
        <v>217</v>
      </c>
      <c r="J42" s="12" t="s">
        <v>218</v>
      </c>
      <c r="K42" s="12" t="s">
        <v>32</v>
      </c>
      <c r="L42" s="12" t="s">
        <v>145</v>
      </c>
      <c r="M42" s="12" t="s">
        <v>24</v>
      </c>
    </row>
    <row r="43" ht="67.95" customHeight="1" spans="1:13">
      <c r="A43" s="12" t="s">
        <v>219</v>
      </c>
      <c r="B43" s="12" t="s">
        <v>220</v>
      </c>
      <c r="C43" s="12" t="s">
        <v>46</v>
      </c>
      <c r="D43" s="12" t="s">
        <v>25</v>
      </c>
      <c r="E43" s="12" t="s">
        <v>26</v>
      </c>
      <c r="F43" s="12" t="s">
        <v>27</v>
      </c>
      <c r="G43" s="12" t="s">
        <v>38</v>
      </c>
      <c r="H43" s="12" t="s">
        <v>221</v>
      </c>
      <c r="I43" s="12" t="s">
        <v>222</v>
      </c>
      <c r="J43" s="12" t="s">
        <v>223</v>
      </c>
      <c r="K43" s="12" t="s">
        <v>32</v>
      </c>
      <c r="L43" s="12" t="s">
        <v>145</v>
      </c>
      <c r="M43" s="12" t="s">
        <v>24</v>
      </c>
    </row>
    <row r="44" ht="67.95" customHeight="1" spans="1:13">
      <c r="A44" s="12" t="s">
        <v>224</v>
      </c>
      <c r="B44" s="12" t="s">
        <v>225</v>
      </c>
      <c r="C44" s="12" t="s">
        <v>46</v>
      </c>
      <c r="D44" s="12" t="s">
        <v>25</v>
      </c>
      <c r="E44" s="12" t="s">
        <v>26</v>
      </c>
      <c r="F44" s="12" t="s">
        <v>27</v>
      </c>
      <c r="G44" s="12" t="s">
        <v>54</v>
      </c>
      <c r="H44" s="12" t="s">
        <v>226</v>
      </c>
      <c r="I44" s="12" t="s">
        <v>227</v>
      </c>
      <c r="J44" s="12" t="s">
        <v>228</v>
      </c>
      <c r="K44" s="12" t="s">
        <v>32</v>
      </c>
      <c r="L44" s="12" t="s">
        <v>82</v>
      </c>
      <c r="M44" s="12" t="s">
        <v>229</v>
      </c>
    </row>
    <row r="45" ht="67.95" customHeight="1" spans="1:13">
      <c r="A45" s="12" t="s">
        <v>230</v>
      </c>
      <c r="B45" s="12" t="s">
        <v>231</v>
      </c>
      <c r="C45" s="12" t="s">
        <v>46</v>
      </c>
      <c r="D45" s="12" t="s">
        <v>25</v>
      </c>
      <c r="E45" s="12" t="s">
        <v>26</v>
      </c>
      <c r="F45" s="12" t="s">
        <v>27</v>
      </c>
      <c r="G45" s="12" t="s">
        <v>54</v>
      </c>
      <c r="H45" s="12" t="s">
        <v>232</v>
      </c>
      <c r="I45" s="12" t="s">
        <v>233</v>
      </c>
      <c r="J45" s="12" t="s">
        <v>234</v>
      </c>
      <c r="K45" s="12" t="s">
        <v>32</v>
      </c>
      <c r="L45" s="12" t="s">
        <v>42</v>
      </c>
      <c r="M45" s="12" t="s">
        <v>235</v>
      </c>
    </row>
    <row r="46" ht="67.95" customHeight="1" spans="1:13">
      <c r="A46" s="12" t="s">
        <v>236</v>
      </c>
      <c r="B46" s="12" t="s">
        <v>237</v>
      </c>
      <c r="C46" s="12" t="s">
        <v>46</v>
      </c>
      <c r="D46" s="12" t="s">
        <v>25</v>
      </c>
      <c r="E46" s="12" t="s">
        <v>66</v>
      </c>
      <c r="F46" s="12" t="s">
        <v>28</v>
      </c>
      <c r="G46" s="12" t="s">
        <v>67</v>
      </c>
      <c r="H46" s="12" t="s">
        <v>238</v>
      </c>
      <c r="I46" s="12" t="s">
        <v>239</v>
      </c>
      <c r="J46" s="12" t="s">
        <v>240</v>
      </c>
      <c r="K46" s="12" t="s">
        <v>32</v>
      </c>
      <c r="L46" s="12" t="s">
        <v>106</v>
      </c>
      <c r="M46" s="12" t="s">
        <v>241</v>
      </c>
    </row>
    <row r="47" ht="67.95" customHeight="1" spans="1:13">
      <c r="A47" s="12" t="s">
        <v>242</v>
      </c>
      <c r="B47" s="12" t="s">
        <v>243</v>
      </c>
      <c r="C47" s="12" t="s">
        <v>46</v>
      </c>
      <c r="D47" s="12" t="s">
        <v>25</v>
      </c>
      <c r="E47" s="12" t="s">
        <v>66</v>
      </c>
      <c r="F47" s="12" t="s">
        <v>27</v>
      </c>
      <c r="G47" s="12" t="s">
        <v>67</v>
      </c>
      <c r="H47" s="12" t="s">
        <v>244</v>
      </c>
      <c r="I47" s="12" t="s">
        <v>245</v>
      </c>
      <c r="J47" s="12" t="s">
        <v>246</v>
      </c>
      <c r="K47" s="12" t="s">
        <v>32</v>
      </c>
      <c r="L47" s="12" t="s">
        <v>62</v>
      </c>
      <c r="M47" s="12" t="s">
        <v>247</v>
      </c>
    </row>
    <row r="48" ht="67.95" customHeight="1" spans="1:13">
      <c r="A48" s="12" t="s">
        <v>248</v>
      </c>
      <c r="B48" s="12" t="s">
        <v>249</v>
      </c>
      <c r="C48" s="12" t="s">
        <v>46</v>
      </c>
      <c r="D48" s="12" t="s">
        <v>25</v>
      </c>
      <c r="E48" s="12" t="s">
        <v>26</v>
      </c>
      <c r="F48" s="12" t="s">
        <v>27</v>
      </c>
      <c r="G48" s="12" t="s">
        <v>38</v>
      </c>
      <c r="H48" s="12" t="s">
        <v>250</v>
      </c>
      <c r="I48" s="12" t="s">
        <v>251</v>
      </c>
      <c r="J48" s="12" t="s">
        <v>252</v>
      </c>
      <c r="K48" s="12" t="s">
        <v>32</v>
      </c>
      <c r="L48" s="12" t="s">
        <v>33</v>
      </c>
      <c r="M48" s="12" t="s">
        <v>253</v>
      </c>
    </row>
    <row r="49" ht="67.95" customHeight="1" spans="1:13">
      <c r="A49" s="12" t="s">
        <v>254</v>
      </c>
      <c r="B49" s="12" t="s">
        <v>82</v>
      </c>
      <c r="C49" s="12" t="s">
        <v>46</v>
      </c>
      <c r="D49" s="12" t="s">
        <v>25</v>
      </c>
      <c r="E49" s="12" t="s">
        <v>66</v>
      </c>
      <c r="F49" s="12" t="s">
        <v>27</v>
      </c>
      <c r="G49" s="12" t="s">
        <v>67</v>
      </c>
      <c r="H49" s="12" t="s">
        <v>255</v>
      </c>
      <c r="I49" s="12" t="s">
        <v>256</v>
      </c>
      <c r="J49" s="12" t="s">
        <v>257</v>
      </c>
      <c r="K49" s="12" t="s">
        <v>32</v>
      </c>
      <c r="L49" s="12" t="s">
        <v>82</v>
      </c>
      <c r="M49" s="12" t="s">
        <v>258</v>
      </c>
    </row>
    <row r="50" ht="67.95" customHeight="1" spans="1:13">
      <c r="A50" s="12" t="s">
        <v>259</v>
      </c>
      <c r="B50" s="12" t="s">
        <v>260</v>
      </c>
      <c r="C50" s="12" t="s">
        <v>46</v>
      </c>
      <c r="D50" s="12" t="s">
        <v>25</v>
      </c>
      <c r="E50" s="12" t="s">
        <v>66</v>
      </c>
      <c r="F50" s="12" t="s">
        <v>28</v>
      </c>
      <c r="G50" s="12" t="s">
        <v>67</v>
      </c>
      <c r="H50" s="12" t="s">
        <v>261</v>
      </c>
      <c r="I50" s="12" t="s">
        <v>262</v>
      </c>
      <c r="J50" s="12" t="s">
        <v>263</v>
      </c>
      <c r="K50" s="12" t="s">
        <v>32</v>
      </c>
      <c r="L50" s="12" t="s">
        <v>106</v>
      </c>
      <c r="M50" s="12" t="s">
        <v>264</v>
      </c>
    </row>
    <row r="51" ht="67.95" customHeight="1" spans="1:13">
      <c r="A51" s="12" t="s">
        <v>265</v>
      </c>
      <c r="B51" s="12" t="s">
        <v>266</v>
      </c>
      <c r="C51" s="12" t="s">
        <v>46</v>
      </c>
      <c r="D51" s="12" t="s">
        <v>25</v>
      </c>
      <c r="E51" s="12" t="s">
        <v>26</v>
      </c>
      <c r="F51" s="12" t="s">
        <v>27</v>
      </c>
      <c r="G51" s="12" t="s">
        <v>38</v>
      </c>
      <c r="H51" s="12" t="s">
        <v>267</v>
      </c>
      <c r="I51" s="12" t="s">
        <v>268</v>
      </c>
      <c r="J51" s="12" t="s">
        <v>269</v>
      </c>
      <c r="K51" s="12" t="s">
        <v>32</v>
      </c>
      <c r="L51" s="12" t="s">
        <v>145</v>
      </c>
      <c r="M51" s="12" t="s">
        <v>270</v>
      </c>
    </row>
    <row r="52" ht="67.95" customHeight="1" spans="1:13">
      <c r="A52" s="12" t="s">
        <v>271</v>
      </c>
      <c r="B52" s="12" t="s">
        <v>272</v>
      </c>
      <c r="C52" s="12" t="s">
        <v>46</v>
      </c>
      <c r="D52" s="12" t="s">
        <v>25</v>
      </c>
      <c r="E52" s="12" t="s">
        <v>26</v>
      </c>
      <c r="F52" s="12" t="s">
        <v>27</v>
      </c>
      <c r="G52" s="12" t="s">
        <v>38</v>
      </c>
      <c r="H52" s="12" t="s">
        <v>273</v>
      </c>
      <c r="I52" s="12" t="s">
        <v>274</v>
      </c>
      <c r="J52" s="12" t="s">
        <v>252</v>
      </c>
      <c r="K52" s="12" t="s">
        <v>32</v>
      </c>
      <c r="L52" s="12" t="s">
        <v>42</v>
      </c>
      <c r="M52" s="12" t="s">
        <v>24</v>
      </c>
    </row>
    <row r="53" ht="67.95" customHeight="1" spans="1:13">
      <c r="A53" s="12" t="s">
        <v>275</v>
      </c>
      <c r="B53" s="12" t="s">
        <v>276</v>
      </c>
      <c r="C53" s="12" t="s">
        <v>46</v>
      </c>
      <c r="D53" s="12" t="s">
        <v>25</v>
      </c>
      <c r="E53" s="12" t="s">
        <v>26</v>
      </c>
      <c r="F53" s="12" t="s">
        <v>27</v>
      </c>
      <c r="G53" s="12" t="s">
        <v>38</v>
      </c>
      <c r="H53" s="12" t="s">
        <v>277</v>
      </c>
      <c r="I53" s="12" t="s">
        <v>278</v>
      </c>
      <c r="J53" s="12" t="s">
        <v>279</v>
      </c>
      <c r="K53" s="12" t="s">
        <v>32</v>
      </c>
      <c r="L53" s="12" t="s">
        <v>42</v>
      </c>
      <c r="M53" s="12" t="s">
        <v>24</v>
      </c>
    </row>
    <row r="54" ht="67.95" customHeight="1" spans="1:13">
      <c r="A54" s="12" t="s">
        <v>280</v>
      </c>
      <c r="B54" s="12" t="s">
        <v>281</v>
      </c>
      <c r="C54" s="12" t="s">
        <v>46</v>
      </c>
      <c r="D54" s="12" t="s">
        <v>25</v>
      </c>
      <c r="E54" s="12" t="s">
        <v>26</v>
      </c>
      <c r="F54" s="12" t="s">
        <v>27</v>
      </c>
      <c r="G54" s="12" t="s">
        <v>282</v>
      </c>
      <c r="H54" s="12" t="s">
        <v>283</v>
      </c>
      <c r="I54" s="12" t="s">
        <v>284</v>
      </c>
      <c r="J54" s="12" t="s">
        <v>285</v>
      </c>
      <c r="K54" s="12" t="s">
        <v>32</v>
      </c>
      <c r="L54" s="12" t="s">
        <v>42</v>
      </c>
      <c r="M54" s="12" t="s">
        <v>286</v>
      </c>
    </row>
    <row r="55" ht="67.95" customHeight="1" spans="1:13">
      <c r="A55" s="12" t="s">
        <v>287</v>
      </c>
      <c r="B55" s="12" t="s">
        <v>288</v>
      </c>
      <c r="C55" s="12" t="s">
        <v>46</v>
      </c>
      <c r="D55" s="12" t="s">
        <v>25</v>
      </c>
      <c r="E55" s="12" t="s">
        <v>26</v>
      </c>
      <c r="F55" s="12" t="s">
        <v>27</v>
      </c>
      <c r="G55" s="12" t="s">
        <v>28</v>
      </c>
      <c r="H55" s="12" t="s">
        <v>289</v>
      </c>
      <c r="I55" s="12" t="s">
        <v>290</v>
      </c>
      <c r="J55" s="12" t="s">
        <v>291</v>
      </c>
      <c r="K55" s="12" t="s">
        <v>32</v>
      </c>
      <c r="L55" s="12" t="s">
        <v>138</v>
      </c>
      <c r="M55" s="12" t="s">
        <v>292</v>
      </c>
    </row>
    <row r="56" ht="67.95" customHeight="1" spans="1:13">
      <c r="A56" s="12" t="s">
        <v>293</v>
      </c>
      <c r="B56" s="12" t="s">
        <v>294</v>
      </c>
      <c r="C56" s="12" t="s">
        <v>46</v>
      </c>
      <c r="D56" s="12" t="s">
        <v>25</v>
      </c>
      <c r="E56" s="12" t="s">
        <v>66</v>
      </c>
      <c r="F56" s="12" t="s">
        <v>27</v>
      </c>
      <c r="G56" s="12" t="s">
        <v>67</v>
      </c>
      <c r="H56" s="12" t="s">
        <v>295</v>
      </c>
      <c r="I56" s="12" t="s">
        <v>296</v>
      </c>
      <c r="J56" s="12" t="s">
        <v>297</v>
      </c>
      <c r="K56" s="12" t="s">
        <v>32</v>
      </c>
      <c r="L56" s="12" t="s">
        <v>62</v>
      </c>
      <c r="M56" s="12" t="s">
        <v>298</v>
      </c>
    </row>
    <row r="57" ht="67.95" customHeight="1" spans="1:13">
      <c r="A57" s="12" t="s">
        <v>299</v>
      </c>
      <c r="B57" s="12" t="s">
        <v>300</v>
      </c>
      <c r="C57" s="12" t="s">
        <v>46</v>
      </c>
      <c r="D57" s="12" t="s">
        <v>25</v>
      </c>
      <c r="E57" s="12" t="s">
        <v>26</v>
      </c>
      <c r="F57" s="12" t="s">
        <v>27</v>
      </c>
      <c r="G57" s="12" t="s">
        <v>38</v>
      </c>
      <c r="H57" s="12" t="s">
        <v>301</v>
      </c>
      <c r="I57" s="12" t="s">
        <v>302</v>
      </c>
      <c r="J57" s="12" t="s">
        <v>303</v>
      </c>
      <c r="K57" s="12" t="s">
        <v>32</v>
      </c>
      <c r="L57" s="12" t="s">
        <v>42</v>
      </c>
      <c r="M57" s="12" t="s">
        <v>24</v>
      </c>
    </row>
    <row r="58" ht="67.95" customHeight="1" spans="1:13">
      <c r="A58" s="12" t="s">
        <v>304</v>
      </c>
      <c r="B58" s="12" t="s">
        <v>305</v>
      </c>
      <c r="C58" s="12" t="s">
        <v>46</v>
      </c>
      <c r="D58" s="12" t="s">
        <v>25</v>
      </c>
      <c r="E58" s="12" t="s">
        <v>26</v>
      </c>
      <c r="F58" s="12" t="s">
        <v>27</v>
      </c>
      <c r="G58" s="12" t="s">
        <v>28</v>
      </c>
      <c r="H58" s="12" t="s">
        <v>306</v>
      </c>
      <c r="I58" s="12" t="s">
        <v>307</v>
      </c>
      <c r="J58" s="12" t="s">
        <v>308</v>
      </c>
      <c r="K58" s="12" t="s">
        <v>32</v>
      </c>
      <c r="L58" s="12" t="s">
        <v>62</v>
      </c>
      <c r="M58" s="12" t="s">
        <v>309</v>
      </c>
    </row>
  </sheetData>
  <autoFilter xmlns:etc="http://www.wps.cn/officeDocument/2017/etCustomData" ref="A10:M58" etc:filterBottomFollowUsedRange="0">
    <extLst>
      <etc:autoFilterAnalysis etc:version="v1" etc:showPane="1"/>
    </extLst>
  </autoFilter>
  <mergeCells count="10">
    <mergeCell ref="A3:M3"/>
    <mergeCell ref="A4:M4"/>
    <mergeCell ref="A5:M5"/>
    <mergeCell ref="A6:B6"/>
    <mergeCell ref="C6:F6"/>
    <mergeCell ref="G6:I6"/>
    <mergeCell ref="J6:M6"/>
    <mergeCell ref="A9:M9"/>
    <mergeCell ref="A7:J8"/>
    <mergeCell ref="K7:M8"/>
  </mergeCells>
  <conditionalFormatting sqref="A12:A58">
    <cfRule type="duplicateValues" dxfId="0" priority="2"/>
  </conditionalFormatting>
  <conditionalFormatting sqref="A3:M6 A7 A9:M9 A10:A11">
    <cfRule type="duplicateValues" dxfId="0" priority="1"/>
  </conditionalFormatting>
  <pageMargins left="0.75" right="0.75" top="1" bottom="1" header="0.5" footer="0.5"/>
  <pageSetup paperSize="9" scale="4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周俊</dc:creator>
  <cp:lastModifiedBy>__满满</cp:lastModifiedBy>
  <dcterms:created xsi:type="dcterms:W3CDTF">2022-11-02T09:18:00Z</dcterms:created>
  <dcterms:modified xsi:type="dcterms:W3CDTF">2026-08-07T08:52:58Z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8E1C8D6FA6A34EBFA95373F653DD31ED_13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